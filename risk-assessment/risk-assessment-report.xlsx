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ik\OneDrive - FAST National University\University\Semester 7\Information Assurance\Project\01. Project\"/>
    </mc:Choice>
  </mc:AlternateContent>
  <xr:revisionPtr revIDLastSave="0" documentId="13_ncr:1_{29E62544-4D6F-414A-AB76-F6A53B818F1C}" xr6:coauthVersionLast="47" xr6:coauthVersionMax="47" xr10:uidLastSave="{00000000-0000-0000-0000-000000000000}"/>
  <bookViews>
    <workbookView xWindow="-108" yWindow="-108" windowWidth="23256" windowHeight="12456" tabRatio="777" xr2:uid="{FA5FB3E8-5ECD-4007-8108-AFAD0BD78349}"/>
  </bookViews>
  <sheets>
    <sheet name="IA Asset CIA Classification" sheetId="5" r:id="rId1"/>
    <sheet name="IA Asset Inventory Information" sheetId="6" r:id="rId2"/>
    <sheet name="IA Qualitative Risk Assessment" sheetId="9" r:id="rId3"/>
    <sheet name="IA Quantitative Risk Assessment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9" l="1"/>
  <c r="B4" i="9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<sst xmlns="http://schemas.openxmlformats.org/spreadsheetml/2006/main" count="302" uniqueCount="161">
  <si>
    <t>S. No.</t>
  </si>
  <si>
    <t>Value</t>
  </si>
  <si>
    <t>Confidentiality ©</t>
  </si>
  <si>
    <t>Integrity (I)</t>
  </si>
  <si>
    <t>Availability (A)</t>
  </si>
  <si>
    <t>Score (C*I*A)</t>
  </si>
  <si>
    <t>Remarks</t>
  </si>
  <si>
    <t>Asset Name                                       (with Value)</t>
  </si>
  <si>
    <t>Asset Classification                         (H, M, L)</t>
  </si>
  <si>
    <t>Information Asset</t>
  </si>
  <si>
    <t>Medium of Storage</t>
  </si>
  <si>
    <t xml:space="preserve">Location </t>
  </si>
  <si>
    <t>Responsibilty</t>
  </si>
  <si>
    <t>Asset</t>
  </si>
  <si>
    <t>Asset Classification</t>
  </si>
  <si>
    <t>External Party with Access Rights</t>
  </si>
  <si>
    <t>(Electronic / Hard Copy Documents)</t>
  </si>
  <si>
    <t>(Electronic Storage Location / Rack // Cabinet etc)</t>
  </si>
  <si>
    <t>Owner (user/custodian)</t>
  </si>
  <si>
    <t>(For the Owner)</t>
  </si>
  <si>
    <t>(H, M, L)</t>
  </si>
  <si>
    <t>Information Asset (Name or Description)</t>
  </si>
  <si>
    <t>Threat Description</t>
  </si>
  <si>
    <t>Vulnerability Description</t>
  </si>
  <si>
    <t>Probability of
Exposure
(H, M, L)</t>
  </si>
  <si>
    <t>Impact/Severity
Rating
(H, M, L)</t>
  </si>
  <si>
    <t>Exposure</t>
  </si>
  <si>
    <t>Asset Classification                  (H, M, L)</t>
  </si>
  <si>
    <t>Single Loss
Expectancy
(SLE)</t>
  </si>
  <si>
    <t>Annualized
Rate
of Occurrence
(ARO)</t>
  </si>
  <si>
    <t>Annual Loss
Expectancy
(ALE)</t>
  </si>
  <si>
    <t>Applicable
Control
Name</t>
  </si>
  <si>
    <t>Value of
Control
(Cost/Benefit
Analysis)</t>
  </si>
  <si>
    <t>High</t>
  </si>
  <si>
    <t>Medium</t>
  </si>
  <si>
    <t>Electronic</t>
  </si>
  <si>
    <t>Acceptable Use/ Official Use                                                   (Read, Write, Email or Backup etc.)</t>
  </si>
  <si>
    <t>Read, Write, Backup</t>
  </si>
  <si>
    <t>Monitor, Update</t>
  </si>
  <si>
    <t>None</t>
  </si>
  <si>
    <t>Asset Market Value              (in dollars)</t>
  </si>
  <si>
    <t>Existing Control                                                                     (if any)</t>
  </si>
  <si>
    <t>Low</t>
  </si>
  <si>
    <t>Client Contracts</t>
  </si>
  <si>
    <t>IoT Devices</t>
  </si>
  <si>
    <t>Financial Records</t>
  </si>
  <si>
    <t xml:space="preserve">High </t>
  </si>
  <si>
    <t>Electronic/Hardcopy</t>
  </si>
  <si>
    <t>Data Centers (Beijing, London)</t>
  </si>
  <si>
    <t>Finance Team Systems</t>
  </si>
  <si>
    <t>Read, Write, Email</t>
  </si>
  <si>
    <t>Legal Team</t>
  </si>
  <si>
    <t>HR Department Head &amp; Managers</t>
  </si>
  <si>
    <t>Architecture/Design Department Head &amp; Managers</t>
  </si>
  <si>
    <t>R&amp;D Team</t>
  </si>
  <si>
    <t>Finance Department Team</t>
  </si>
  <si>
    <r>
      <rPr>
        <b/>
        <i/>
        <sz val="11"/>
        <color theme="1"/>
        <rFont val="Aptos Narrow"/>
        <family val="2"/>
        <scheme val="minor"/>
      </rPr>
      <t xml:space="preserve">Note: </t>
    </r>
    <r>
      <rPr>
        <i/>
        <sz val="11"/>
        <color theme="1"/>
        <rFont val="Aptos Narrow"/>
        <family val="2"/>
        <scheme val="minor"/>
      </rPr>
      <t>The Asset value of employee records actually depends on its importance. That also applies to all other assets because asset value chnages from time to time.</t>
    </r>
  </si>
  <si>
    <t>RBAC, Data encryption, Regular backups.</t>
  </si>
  <si>
    <t>Data encryption, Secure cabinets, Restricted physical access.</t>
  </si>
  <si>
    <t>Firewalls, IDS/IPS, Redundancy measures, Disaster recovery plans.</t>
  </si>
  <si>
    <t>Network segmentation, IoT-specific security protocols.</t>
  </si>
  <si>
    <t>Encryption, Role-based access.</t>
  </si>
  <si>
    <t>Strong encryption, Access restrictions, Secure storage.</t>
  </si>
  <si>
    <t>Data encryption, Secure ERP system, Compliance frameworks.</t>
  </si>
  <si>
    <t>Unauthorized access</t>
  </si>
  <si>
    <t>Data corruption</t>
  </si>
  <si>
    <t>Weak access control or stolen credentials</t>
  </si>
  <si>
    <t>Insider threat or malware infection</t>
  </si>
  <si>
    <t>Data Theft</t>
  </si>
  <si>
    <t>Insider Misuse</t>
  </si>
  <si>
    <t>Insufficient encryption or weak physical security</t>
  </si>
  <si>
    <t>Excessive access privileges</t>
  </si>
  <si>
    <t>Physical breach</t>
  </si>
  <si>
    <t>Natural disasters</t>
  </si>
  <si>
    <t>Lack of robust physical security</t>
  </si>
  <si>
    <t>Insufficient disaster-resilient design</t>
  </si>
  <si>
    <t>Unauthorized control</t>
  </si>
  <si>
    <t>Data leakage</t>
  </si>
  <si>
    <t>Exploited vulnerabilities</t>
  </si>
  <si>
    <t>Weak passwords or insecure protocols</t>
  </si>
  <si>
    <t>Insufficient encryption of IoT data</t>
  </si>
  <si>
    <t>Outdated firmware</t>
  </si>
  <si>
    <t>Identity theft</t>
  </si>
  <si>
    <t>Lack of strong encryption</t>
  </si>
  <si>
    <t>Poorly enforced RBAC policies</t>
  </si>
  <si>
    <t>Data theft by competitors</t>
  </si>
  <si>
    <t>Corruption of files</t>
  </si>
  <si>
    <t>Weak external-facing defenses</t>
  </si>
  <si>
    <t>Insider threat/Excessive privileges</t>
  </si>
  <si>
    <t>Malware/Accidental deletion</t>
  </si>
  <si>
    <t>Financial fraud</t>
  </si>
  <si>
    <t>Weak system controls or insider misuse</t>
  </si>
  <si>
    <t>Lack of RBAC and monitoring</t>
  </si>
  <si>
    <t xml:space="preserve">Loss of records	</t>
  </si>
  <si>
    <t>Inadequate backup or redundancy</t>
  </si>
  <si>
    <t>Proprietary BIM Models</t>
  </si>
  <si>
    <t>Research Data</t>
  </si>
  <si>
    <t>Employee Data/Records</t>
  </si>
  <si>
    <t>IT Systems</t>
  </si>
  <si>
    <t>Data Centers</t>
  </si>
  <si>
    <t>Critical for design execution and innovation; protected with RBAC and encryption.</t>
  </si>
  <si>
    <t>Confidential agreements; encrypted and access restricted.</t>
  </si>
  <si>
    <t>Proprietary research on sustainable materials; highly sensitive.</t>
  </si>
  <si>
    <t>Core to operations; backed up securely and access limited to authorized personnel.</t>
  </si>
  <si>
    <t>Personal data; complies with GDPR and other privacy laws.</t>
  </si>
  <si>
    <t>High availability required for global collaboration; redundant systems in place.</t>
  </si>
  <si>
    <t>Used for smart building management; requires regular firmware updates to mitigate vulnerabilities.</t>
  </si>
  <si>
    <t>Store mission-critical data; ISO 27001-compliant.</t>
  </si>
  <si>
    <t>Embedded Systems</t>
  </si>
  <si>
    <t>Secure Cabinet, Encrypted Cloud Storage</t>
  </si>
  <si>
    <t>R&amp;D Servers (Beijing, London)</t>
  </si>
  <si>
    <t>HR Database</t>
  </si>
  <si>
    <t>Regional Offices</t>
  </si>
  <si>
    <t>Smart Building Infrastructure</t>
  </si>
  <si>
    <t>HQ (Beijing, London)</t>
  </si>
  <si>
    <t>IT Department</t>
  </si>
  <si>
    <t xml:space="preserve">IT Team </t>
  </si>
  <si>
    <t>Data Center Managers</t>
  </si>
  <si>
    <t>Operational Use</t>
  </si>
  <si>
    <t xml:space="preserve">$1,000,000	</t>
  </si>
  <si>
    <t>IoT Vendors</t>
  </si>
  <si>
    <t>Endpoint Protection, Monitoring</t>
  </si>
  <si>
    <t>Software Attacks (Malware Infection)</t>
  </si>
  <si>
    <t>Unpatched systems or phishing attacks</t>
  </si>
  <si>
    <t>Asset Value</t>
  </si>
  <si>
    <t>Exposure Rate</t>
  </si>
  <si>
    <t>Asset Name</t>
  </si>
  <si>
    <t>RBAC, MFA</t>
  </si>
  <si>
    <t>Endpoint Protection</t>
  </si>
  <si>
    <t>Encryption, Physical Security</t>
  </si>
  <si>
    <t>RBAC, Monitoring</t>
  </si>
  <si>
    <t>Firewalls, IDS</t>
  </si>
  <si>
    <t>Backup Systems</t>
  </si>
  <si>
    <t>Audit Trails, Authentication</t>
  </si>
  <si>
    <t>Encryption, Monitoring</t>
  </si>
  <si>
    <t>RBAC Policies</t>
  </si>
  <si>
    <t>Antivirus, Phishing Training</t>
  </si>
  <si>
    <t>Strong Passwords, MFA</t>
  </si>
  <si>
    <t>IoT Encryption, Updates</t>
  </si>
  <si>
    <t>Firmware Updates</t>
  </si>
  <si>
    <t>Physical Security Systems</t>
  </si>
  <si>
    <t>Backup Sites, Disaster Recovery</t>
  </si>
  <si>
    <t>Prevents unauthorized access</t>
  </si>
  <si>
    <t>Ensures data integrity</t>
  </si>
  <si>
    <t>Protects sensitive data</t>
  </si>
  <si>
    <t>Reduces insider threats</t>
  </si>
  <si>
    <t>Prevents external theft</t>
  </si>
  <si>
    <t>Mitigates insider threats</t>
  </si>
  <si>
    <t>Enables file recovery</t>
  </si>
  <si>
    <t>Prevents financial misuse</t>
  </si>
  <si>
    <t>Secures access control</t>
  </si>
  <si>
    <t>Ensures continuity</t>
  </si>
  <si>
    <t>Prevents identity fraud</t>
  </si>
  <si>
    <t>Enhances access policies</t>
  </si>
  <si>
    <t>Protects against malware</t>
  </si>
  <si>
    <t>Secures system access</t>
  </si>
  <si>
    <t>Prevents IoT breaches</t>
  </si>
  <si>
    <t>Updates system security</t>
  </si>
  <si>
    <t>Secures physical assets</t>
  </si>
  <si>
    <t>Ensures continuity post-disaster</t>
  </si>
  <si>
    <t xml:space="preserve">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</si>
</sst>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3" borderId="10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6" fontId="0" fillId="0" borderId="3" xfId="0" applyNumberFormat="1" applyBorder="1" applyAlignment="1">
      <alignment horizontal="center" vertical="center"/>
    </xf>
    <xf numFmtId="6" fontId="0" fillId="0" borderId="10" xfId="0" applyNumberFormat="1" applyBorder="1" applyAlignment="1">
      <alignment horizontal="center" vertical="center"/>
    </xf>
    <xf numFmtId="6" fontId="0" fillId="2" borderId="3" xfId="0" applyNumberFormat="1" applyFill="1" applyBorder="1" applyAlignment="1">
      <alignment horizontal="center" vertical="center"/>
    </xf>
    <xf numFmtId="6" fontId="0" fillId="2" borderId="10" xfId="0" applyNumberFormat="1" applyFill="1" applyBorder="1" applyAlignment="1">
      <alignment horizontal="center" vertical="center"/>
    </xf>
    <xf numFmtId="6" fontId="0" fillId="2" borderId="1" xfId="0" applyNumberForma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 wrapText="1"/>
    </xf>
    <xf numFmtId="9" fontId="0" fillId="2" borderId="3" xfId="0" applyNumberFormat="1" applyFill="1" applyBorder="1" applyAlignment="1">
      <alignment horizontal="center" vertical="center" wrapText="1"/>
    </xf>
    <xf numFmtId="9" fontId="0" fillId="2" borderId="10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6" fontId="0" fillId="2" borderId="1" xfId="0" applyNumberForma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6" fontId="0" fillId="0" borderId="3" xfId="0" applyNumberFormat="1" applyBorder="1" applyAlignment="1">
      <alignment horizontal="center" vertical="center"/>
    </xf>
    <xf numFmtId="6" fontId="0" fillId="0" borderId="10" xfId="0" applyNumberFormat="1" applyBorder="1" applyAlignment="1">
      <alignment horizontal="center" vertical="center"/>
    </xf>
    <xf numFmtId="6" fontId="0" fillId="2" borderId="3" xfId="0" applyNumberFormat="1" applyFill="1" applyBorder="1" applyAlignment="1">
      <alignment horizontal="center" vertical="center" wrapText="1"/>
    </xf>
    <xf numFmtId="6" fontId="0" fillId="2" borderId="10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6" fontId="0" fillId="0" borderId="7" xfId="0" applyNumberFormat="1" applyBorder="1" applyAlignment="1">
      <alignment horizontal="center" vertical="center"/>
    </xf>
    <xf numFmtId="6" fontId="0" fillId="2" borderId="3" xfId="0" applyNumberFormat="1" applyFill="1" applyBorder="1" applyAlignment="1">
      <alignment horizontal="center" vertical="center"/>
    </xf>
    <xf numFmtId="6" fontId="0" fillId="2" borderId="7" xfId="0" applyNumberFormat="1" applyFill="1" applyBorder="1" applyAlignment="1">
      <alignment horizontal="center" vertical="center"/>
    </xf>
    <xf numFmtId="6" fontId="0" fillId="2" borderId="10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F753-17D4-4A1B-9384-E2089025463E}">
  <dimension ref="B2:J12"/>
  <sheetViews>
    <sheetView tabSelected="1" workbookViewId="0">
      <selection activeCell="D27" sqref="D27"/>
    </sheetView>
  </sheetViews>
  <sheetFormatPr defaultRowHeight="14.4" x14ac:dyDescent="0.3"/>
  <cols>
    <col min="3" max="3" width="25" customWidth="1"/>
    <col min="4" max="7" width="15.77734375" customWidth="1"/>
    <col min="8" max="8" width="22.77734375" customWidth="1"/>
    <col min="9" max="9" width="37.6640625" style="2" customWidth="1"/>
    <col min="10" max="10" width="8.88671875" style="2"/>
  </cols>
  <sheetData>
    <row r="2" spans="2:10" ht="57.6" customHeight="1" x14ac:dyDescent="0.3">
      <c r="B2" s="34" t="s">
        <v>0</v>
      </c>
      <c r="C2" s="75" t="s">
        <v>7</v>
      </c>
      <c r="D2" s="84" t="s">
        <v>1</v>
      </c>
      <c r="E2" s="68"/>
      <c r="F2" s="68"/>
      <c r="G2" s="69"/>
      <c r="H2" s="75" t="s">
        <v>8</v>
      </c>
      <c r="I2" s="85" t="s">
        <v>6</v>
      </c>
      <c r="J2" s="77"/>
    </row>
    <row r="3" spans="2:10" x14ac:dyDescent="0.3">
      <c r="B3" s="86"/>
      <c r="C3" s="32"/>
      <c r="D3" s="34" t="s">
        <v>2</v>
      </c>
      <c r="E3" s="34" t="s">
        <v>3</v>
      </c>
      <c r="F3" s="34" t="s">
        <v>4</v>
      </c>
      <c r="G3" s="34" t="s">
        <v>5</v>
      </c>
      <c r="H3" s="32"/>
      <c r="I3" s="29"/>
      <c r="J3" s="87"/>
    </row>
    <row r="4" spans="2:10" x14ac:dyDescent="0.3">
      <c r="B4" s="35"/>
      <c r="C4" s="33"/>
      <c r="D4" s="35"/>
      <c r="E4" s="35"/>
      <c r="F4" s="35"/>
      <c r="G4" s="35"/>
      <c r="H4" s="33"/>
      <c r="I4" s="30"/>
      <c r="J4" s="78"/>
    </row>
    <row r="5" spans="2:10" ht="42" customHeight="1" x14ac:dyDescent="0.3">
      <c r="B5" s="79">
        <v>1</v>
      </c>
      <c r="C5" s="6" t="s">
        <v>95</v>
      </c>
      <c r="D5" s="25">
        <v>3</v>
      </c>
      <c r="E5" s="25">
        <v>3</v>
      </c>
      <c r="F5" s="25">
        <v>3</v>
      </c>
      <c r="G5" s="25">
        <v>27</v>
      </c>
      <c r="H5" s="25" t="s">
        <v>33</v>
      </c>
      <c r="I5" s="28" t="s">
        <v>100</v>
      </c>
      <c r="J5" s="88"/>
    </row>
    <row r="6" spans="2:10" ht="42" customHeight="1" x14ac:dyDescent="0.3">
      <c r="B6" s="67">
        <v>2</v>
      </c>
      <c r="C6" s="7" t="s">
        <v>43</v>
      </c>
      <c r="D6" s="26">
        <v>3</v>
      </c>
      <c r="E6" s="26">
        <v>3</v>
      </c>
      <c r="F6" s="26">
        <v>2</v>
      </c>
      <c r="G6" s="26">
        <v>18</v>
      </c>
      <c r="H6" s="26" t="s">
        <v>33</v>
      </c>
      <c r="I6" s="31" t="s">
        <v>101</v>
      </c>
      <c r="J6" s="89"/>
    </row>
    <row r="7" spans="2:10" ht="42" customHeight="1" x14ac:dyDescent="0.3">
      <c r="B7" s="79">
        <v>3</v>
      </c>
      <c r="C7" s="6" t="s">
        <v>96</v>
      </c>
      <c r="D7" s="25">
        <v>3</v>
      </c>
      <c r="E7" s="25">
        <v>3</v>
      </c>
      <c r="F7" s="25">
        <v>2</v>
      </c>
      <c r="G7" s="25">
        <v>18</v>
      </c>
      <c r="H7" s="25" t="s">
        <v>33</v>
      </c>
      <c r="I7" s="28" t="s">
        <v>102</v>
      </c>
      <c r="J7" s="88"/>
    </row>
    <row r="8" spans="2:10" ht="42" customHeight="1" x14ac:dyDescent="0.3">
      <c r="B8" s="74">
        <v>4</v>
      </c>
      <c r="C8" s="8" t="s">
        <v>45</v>
      </c>
      <c r="D8" s="9">
        <v>3</v>
      </c>
      <c r="E8" s="9">
        <v>3</v>
      </c>
      <c r="F8" s="9">
        <v>3</v>
      </c>
      <c r="G8" s="9">
        <v>27</v>
      </c>
      <c r="H8" s="9" t="s">
        <v>33</v>
      </c>
      <c r="I8" s="36" t="s">
        <v>103</v>
      </c>
      <c r="J8" s="90"/>
    </row>
    <row r="9" spans="2:10" ht="42" customHeight="1" x14ac:dyDescent="0.3">
      <c r="B9" s="91">
        <v>5</v>
      </c>
      <c r="C9" s="10" t="s">
        <v>97</v>
      </c>
      <c r="D9" s="11">
        <v>3</v>
      </c>
      <c r="E9" s="11">
        <v>2</v>
      </c>
      <c r="F9" s="11">
        <v>2</v>
      </c>
      <c r="G9" s="11">
        <v>12</v>
      </c>
      <c r="H9" s="11" t="s">
        <v>34</v>
      </c>
      <c r="I9" s="37" t="s">
        <v>104</v>
      </c>
      <c r="J9" s="92"/>
    </row>
    <row r="10" spans="2:10" ht="42" customHeight="1" x14ac:dyDescent="0.3">
      <c r="B10" s="74">
        <v>6</v>
      </c>
      <c r="C10" s="8" t="s">
        <v>98</v>
      </c>
      <c r="D10" s="9">
        <v>2</v>
      </c>
      <c r="E10" s="9">
        <v>3</v>
      </c>
      <c r="F10" s="9">
        <v>3</v>
      </c>
      <c r="G10" s="9">
        <v>18</v>
      </c>
      <c r="H10" s="9" t="s">
        <v>46</v>
      </c>
      <c r="I10" s="36" t="s">
        <v>105</v>
      </c>
      <c r="J10" s="90"/>
    </row>
    <row r="11" spans="2:10" ht="42" customHeight="1" x14ac:dyDescent="0.3">
      <c r="B11" s="91">
        <v>7</v>
      </c>
      <c r="C11" s="10" t="s">
        <v>44</v>
      </c>
      <c r="D11" s="11">
        <v>2</v>
      </c>
      <c r="E11" s="11">
        <v>2</v>
      </c>
      <c r="F11" s="11">
        <v>2</v>
      </c>
      <c r="G11" s="11">
        <v>8</v>
      </c>
      <c r="H11" s="11" t="s">
        <v>34</v>
      </c>
      <c r="I11" s="37" t="s">
        <v>106</v>
      </c>
      <c r="J11" s="92"/>
    </row>
    <row r="12" spans="2:10" ht="42" customHeight="1" x14ac:dyDescent="0.3">
      <c r="B12" s="67">
        <v>8</v>
      </c>
      <c r="C12" s="7" t="s">
        <v>99</v>
      </c>
      <c r="D12" s="26">
        <v>3</v>
      </c>
      <c r="E12" s="26">
        <v>3</v>
      </c>
      <c r="F12" s="26">
        <v>3</v>
      </c>
      <c r="G12" s="26">
        <v>27</v>
      </c>
      <c r="H12" s="26" t="s">
        <v>33</v>
      </c>
      <c r="I12" s="31" t="s">
        <v>107</v>
      </c>
      <c r="J12" s="89"/>
    </row>
  </sheetData>
  <mergeCells count="17">
    <mergeCell ref="I8:J8"/>
    <mergeCell ref="I9:J9"/>
    <mergeCell ref="I10:J10"/>
    <mergeCell ref="I11:J11"/>
    <mergeCell ref="I12:J12"/>
    <mergeCell ref="I5:J5"/>
    <mergeCell ref="I2:J4"/>
    <mergeCell ref="I6:J6"/>
    <mergeCell ref="I7:J7"/>
    <mergeCell ref="B2:B4"/>
    <mergeCell ref="C2:C4"/>
    <mergeCell ref="D2:G2"/>
    <mergeCell ref="H2:H4"/>
    <mergeCell ref="D3:D4"/>
    <mergeCell ref="E3:E4"/>
    <mergeCell ref="F3:F4"/>
    <mergeCell ref="G3:G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0DFAA-9D87-4306-AE0D-FDF524D18F67}">
  <dimension ref="B2:J16"/>
  <sheetViews>
    <sheetView workbookViewId="0">
      <selection activeCell="B2" sqref="B2:J11"/>
    </sheetView>
  </sheetViews>
  <sheetFormatPr defaultRowHeight="14.4" x14ac:dyDescent="0.3"/>
  <cols>
    <col min="2" max="2" width="8.77734375" customWidth="1"/>
    <col min="3" max="3" width="23.6640625" customWidth="1"/>
    <col min="4" max="8" width="20.77734375" customWidth="1"/>
    <col min="9" max="10" width="18.77734375" customWidth="1"/>
  </cols>
  <sheetData>
    <row r="2" spans="2:10" ht="74.400000000000006" customHeight="1" x14ac:dyDescent="0.3">
      <c r="B2" s="34" t="s">
        <v>0</v>
      </c>
      <c r="C2" s="75" t="s">
        <v>9</v>
      </c>
      <c r="D2" s="60" t="s">
        <v>10</v>
      </c>
      <c r="E2" s="60" t="s">
        <v>11</v>
      </c>
      <c r="F2" s="60" t="s">
        <v>12</v>
      </c>
      <c r="G2" s="60" t="s">
        <v>36</v>
      </c>
      <c r="H2" s="76" t="s">
        <v>14</v>
      </c>
      <c r="I2" s="75" t="s">
        <v>40</v>
      </c>
      <c r="J2" s="77" t="s">
        <v>15</v>
      </c>
    </row>
    <row r="3" spans="2:10" ht="54.6" customHeight="1" x14ac:dyDescent="0.3">
      <c r="B3" s="35"/>
      <c r="C3" s="33"/>
      <c r="D3" s="3" t="s">
        <v>16</v>
      </c>
      <c r="E3" s="24" t="s">
        <v>17</v>
      </c>
      <c r="F3" s="24" t="s">
        <v>18</v>
      </c>
      <c r="G3" s="24" t="s">
        <v>19</v>
      </c>
      <c r="H3" s="24" t="s">
        <v>20</v>
      </c>
      <c r="I3" s="33"/>
      <c r="J3" s="78"/>
    </row>
    <row r="4" spans="2:10" ht="52.2" customHeight="1" x14ac:dyDescent="0.3">
      <c r="B4" s="79">
        <v>1</v>
      </c>
      <c r="C4" s="6" t="s">
        <v>95</v>
      </c>
      <c r="D4" s="25" t="s">
        <v>35</v>
      </c>
      <c r="E4" s="6" t="s">
        <v>48</v>
      </c>
      <c r="F4" s="6" t="s">
        <v>53</v>
      </c>
      <c r="G4" s="6" t="s">
        <v>37</v>
      </c>
      <c r="H4" s="25" t="s">
        <v>33</v>
      </c>
      <c r="I4" s="23">
        <v>2000000</v>
      </c>
      <c r="J4" s="70" t="s">
        <v>39</v>
      </c>
    </row>
    <row r="5" spans="2:10" ht="52.2" customHeight="1" x14ac:dyDescent="0.3">
      <c r="B5" s="67">
        <v>2</v>
      </c>
      <c r="C5" s="7" t="s">
        <v>43</v>
      </c>
      <c r="D5" s="26" t="s">
        <v>47</v>
      </c>
      <c r="E5" s="7" t="s">
        <v>109</v>
      </c>
      <c r="F5" s="26" t="s">
        <v>51</v>
      </c>
      <c r="G5" s="26" t="s">
        <v>50</v>
      </c>
      <c r="H5" s="26" t="s">
        <v>33</v>
      </c>
      <c r="I5" s="27">
        <v>500000</v>
      </c>
      <c r="J5" s="80" t="s">
        <v>39</v>
      </c>
    </row>
    <row r="6" spans="2:10" ht="52.2" customHeight="1" x14ac:dyDescent="0.3">
      <c r="B6" s="79">
        <v>3</v>
      </c>
      <c r="C6" s="6" t="s">
        <v>96</v>
      </c>
      <c r="D6" s="25" t="s">
        <v>35</v>
      </c>
      <c r="E6" s="6" t="s">
        <v>110</v>
      </c>
      <c r="F6" s="6" t="s">
        <v>54</v>
      </c>
      <c r="G6" s="25" t="s">
        <v>37</v>
      </c>
      <c r="H6" s="25" t="s">
        <v>33</v>
      </c>
      <c r="I6" s="23">
        <v>1500000</v>
      </c>
      <c r="J6" s="70" t="s">
        <v>39</v>
      </c>
    </row>
    <row r="7" spans="2:10" ht="52.2" customHeight="1" x14ac:dyDescent="0.3">
      <c r="B7" s="67">
        <v>4</v>
      </c>
      <c r="C7" s="7" t="s">
        <v>45</v>
      </c>
      <c r="D7" s="26" t="s">
        <v>35</v>
      </c>
      <c r="E7" s="7" t="s">
        <v>49</v>
      </c>
      <c r="F7" s="7" t="s">
        <v>55</v>
      </c>
      <c r="G7" s="26" t="s">
        <v>37</v>
      </c>
      <c r="H7" s="26" t="s">
        <v>33</v>
      </c>
      <c r="I7" s="17" t="s">
        <v>119</v>
      </c>
      <c r="J7" s="72" t="s">
        <v>39</v>
      </c>
    </row>
    <row r="8" spans="2:10" ht="52.2" customHeight="1" x14ac:dyDescent="0.3">
      <c r="B8" s="79">
        <v>5</v>
      </c>
      <c r="C8" s="6" t="s">
        <v>97</v>
      </c>
      <c r="D8" s="25" t="s">
        <v>35</v>
      </c>
      <c r="E8" s="25" t="s">
        <v>111</v>
      </c>
      <c r="F8" s="6" t="s">
        <v>52</v>
      </c>
      <c r="G8" s="6" t="s">
        <v>37</v>
      </c>
      <c r="H8" s="25" t="s">
        <v>34</v>
      </c>
      <c r="I8" s="23">
        <v>200000</v>
      </c>
      <c r="J8" s="81" t="s">
        <v>39</v>
      </c>
    </row>
    <row r="9" spans="2:10" ht="52.2" customHeight="1" x14ac:dyDescent="0.3">
      <c r="B9" s="67">
        <v>6</v>
      </c>
      <c r="C9" s="7" t="s">
        <v>98</v>
      </c>
      <c r="D9" s="26" t="s">
        <v>35</v>
      </c>
      <c r="E9" s="7" t="s">
        <v>112</v>
      </c>
      <c r="F9" s="7" t="s">
        <v>115</v>
      </c>
      <c r="G9" s="26" t="s">
        <v>118</v>
      </c>
      <c r="H9" s="26" t="s">
        <v>33</v>
      </c>
      <c r="I9" s="17">
        <v>3000000</v>
      </c>
      <c r="J9" s="72" t="s">
        <v>39</v>
      </c>
    </row>
    <row r="10" spans="2:10" ht="52.2" customHeight="1" x14ac:dyDescent="0.3">
      <c r="B10" s="82">
        <v>7</v>
      </c>
      <c r="C10" s="4" t="s">
        <v>44</v>
      </c>
      <c r="D10" s="5" t="s">
        <v>108</v>
      </c>
      <c r="E10" s="4" t="s">
        <v>113</v>
      </c>
      <c r="F10" s="4" t="s">
        <v>116</v>
      </c>
      <c r="G10" s="5" t="s">
        <v>38</v>
      </c>
      <c r="H10" s="5" t="s">
        <v>34</v>
      </c>
      <c r="I10" s="13">
        <v>150000</v>
      </c>
      <c r="J10" s="83" t="s">
        <v>120</v>
      </c>
    </row>
    <row r="11" spans="2:10" ht="52.2" customHeight="1" x14ac:dyDescent="0.3">
      <c r="B11" s="74">
        <v>8</v>
      </c>
      <c r="C11" s="8" t="s">
        <v>99</v>
      </c>
      <c r="D11" s="9" t="s">
        <v>35</v>
      </c>
      <c r="E11" s="8" t="s">
        <v>114</v>
      </c>
      <c r="F11" s="8" t="s">
        <v>117</v>
      </c>
      <c r="G11" s="9" t="s">
        <v>37</v>
      </c>
      <c r="H11" s="9" t="s">
        <v>33</v>
      </c>
      <c r="I11" s="16">
        <v>5000000</v>
      </c>
      <c r="J11" s="71" t="s">
        <v>39</v>
      </c>
    </row>
    <row r="12" spans="2:10" s="39" customFormat="1" x14ac:dyDescent="0.3"/>
    <row r="13" spans="2:10" ht="14.4" customHeight="1" x14ac:dyDescent="0.3">
      <c r="B13" s="38" t="s">
        <v>56</v>
      </c>
      <c r="C13" s="38"/>
      <c r="D13" s="38"/>
      <c r="E13" s="38"/>
      <c r="F13" s="38"/>
      <c r="G13" s="38"/>
      <c r="H13" s="38"/>
      <c r="I13" s="38"/>
      <c r="J13" s="38"/>
    </row>
    <row r="14" spans="2:10" x14ac:dyDescent="0.3">
      <c r="B14" s="38"/>
      <c r="C14" s="38"/>
      <c r="D14" s="38"/>
      <c r="E14" s="38"/>
      <c r="F14" s="38"/>
      <c r="G14" s="38"/>
      <c r="H14" s="38"/>
      <c r="I14" s="38"/>
      <c r="J14" s="38"/>
    </row>
    <row r="15" spans="2:10" x14ac:dyDescent="0.3">
      <c r="B15" s="38"/>
      <c r="C15" s="38"/>
      <c r="D15" s="38"/>
      <c r="E15" s="38"/>
      <c r="F15" s="38"/>
      <c r="G15" s="38"/>
      <c r="H15" s="38"/>
      <c r="I15" s="38"/>
      <c r="J15" s="38"/>
    </row>
    <row r="16" spans="2:10" x14ac:dyDescent="0.3">
      <c r="B16" s="1"/>
      <c r="C16" s="1"/>
      <c r="D16" s="1"/>
      <c r="E16" s="1"/>
      <c r="F16" s="1"/>
      <c r="G16" s="1"/>
      <c r="H16" s="1"/>
      <c r="I16" s="1"/>
      <c r="J16" s="1"/>
    </row>
  </sheetData>
  <mergeCells count="6">
    <mergeCell ref="B2:B3"/>
    <mergeCell ref="C2:C3"/>
    <mergeCell ref="I2:I3"/>
    <mergeCell ref="J2:J3"/>
    <mergeCell ref="B13:J15"/>
    <mergeCell ref="A12:XFD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F31E-9920-4D5B-8690-478EA154AFAD}">
  <dimension ref="B2:I21"/>
  <sheetViews>
    <sheetView topLeftCell="A17" workbookViewId="0">
      <selection activeCell="A3" sqref="A3"/>
    </sheetView>
  </sheetViews>
  <sheetFormatPr defaultRowHeight="14.4" x14ac:dyDescent="0.3"/>
  <cols>
    <col min="3" max="3" width="23.6640625" customWidth="1"/>
    <col min="4" max="4" width="19.77734375" customWidth="1"/>
    <col min="5" max="5" width="32.6640625" customWidth="1"/>
    <col min="6" max="6" width="29.77734375" customWidth="1"/>
    <col min="7" max="7" width="37.44140625" customWidth="1"/>
    <col min="8" max="9" width="19.77734375" customWidth="1"/>
  </cols>
  <sheetData>
    <row r="2" spans="2:9" ht="36.6" customHeight="1" x14ac:dyDescent="0.3">
      <c r="B2" s="34" t="s">
        <v>160</v>
      </c>
      <c r="C2" s="68" t="s">
        <v>13</v>
      </c>
      <c r="D2" s="68"/>
      <c r="E2" s="68"/>
      <c r="F2" s="68" t="s">
        <v>26</v>
      </c>
      <c r="G2" s="68"/>
      <c r="H2" s="68"/>
      <c r="I2" s="69"/>
    </row>
    <row r="3" spans="2:9" ht="50.4" customHeight="1" x14ac:dyDescent="0.3">
      <c r="B3" s="35"/>
      <c r="C3" s="3" t="s">
        <v>21</v>
      </c>
      <c r="D3" s="3" t="s">
        <v>27</v>
      </c>
      <c r="E3" s="3" t="s">
        <v>41</v>
      </c>
      <c r="F3" s="3" t="s">
        <v>22</v>
      </c>
      <c r="G3" s="3" t="s">
        <v>23</v>
      </c>
      <c r="H3" s="3" t="s">
        <v>24</v>
      </c>
      <c r="I3" s="24" t="s">
        <v>25</v>
      </c>
    </row>
    <row r="4" spans="2:9" ht="34.950000000000003" customHeight="1" x14ac:dyDescent="0.3">
      <c r="B4" s="61" cm="1">
        <f t="array" aca="1" ref="B4" ca="1">+A+B4:C19</f>
        <v>0</v>
      </c>
      <c r="C4" s="40" t="s">
        <v>95</v>
      </c>
      <c r="D4" s="42" t="s">
        <v>33</v>
      </c>
      <c r="E4" s="40" t="s">
        <v>57</v>
      </c>
      <c r="F4" s="6" t="s">
        <v>64</v>
      </c>
      <c r="G4" s="6" t="s">
        <v>66</v>
      </c>
      <c r="H4" s="6" t="s">
        <v>34</v>
      </c>
      <c r="I4" s="70" t="s">
        <v>33</v>
      </c>
    </row>
    <row r="5" spans="2:9" ht="34.950000000000003" customHeight="1" x14ac:dyDescent="0.3">
      <c r="B5" s="62"/>
      <c r="C5" s="41"/>
      <c r="D5" s="43"/>
      <c r="E5" s="41"/>
      <c r="F5" s="6" t="s">
        <v>65</v>
      </c>
      <c r="G5" s="6" t="s">
        <v>67</v>
      </c>
      <c r="H5" s="6" t="s">
        <v>34</v>
      </c>
      <c r="I5" s="70" t="s">
        <v>33</v>
      </c>
    </row>
    <row r="6" spans="2:9" ht="34.950000000000003" customHeight="1" x14ac:dyDescent="0.3">
      <c r="B6" s="66">
        <v>2</v>
      </c>
      <c r="C6" s="46" t="s">
        <v>43</v>
      </c>
      <c r="D6" s="48" t="s">
        <v>33</v>
      </c>
      <c r="E6" s="46" t="s">
        <v>58</v>
      </c>
      <c r="F6" s="8" t="s">
        <v>68</v>
      </c>
      <c r="G6" s="8" t="s">
        <v>70</v>
      </c>
      <c r="H6" s="8" t="s">
        <v>34</v>
      </c>
      <c r="I6" s="71" t="s">
        <v>33</v>
      </c>
    </row>
    <row r="7" spans="2:9" ht="34.950000000000003" customHeight="1" x14ac:dyDescent="0.3">
      <c r="B7" s="64"/>
      <c r="C7" s="47"/>
      <c r="D7" s="49"/>
      <c r="E7" s="47"/>
      <c r="F7" s="7" t="s">
        <v>69</v>
      </c>
      <c r="G7" s="7" t="s">
        <v>71</v>
      </c>
      <c r="H7" s="7" t="s">
        <v>34</v>
      </c>
      <c r="I7" s="72" t="s">
        <v>33</v>
      </c>
    </row>
    <row r="8" spans="2:9" ht="34.950000000000003" customHeight="1" x14ac:dyDescent="0.3">
      <c r="B8" s="65">
        <v>3</v>
      </c>
      <c r="C8" s="44" t="s">
        <v>96</v>
      </c>
      <c r="D8" s="45" t="s">
        <v>33</v>
      </c>
      <c r="E8" s="44" t="s">
        <v>62</v>
      </c>
      <c r="F8" s="10" t="s">
        <v>85</v>
      </c>
      <c r="G8" s="10" t="s">
        <v>87</v>
      </c>
      <c r="H8" s="10" t="s">
        <v>34</v>
      </c>
      <c r="I8" s="73" t="s">
        <v>33</v>
      </c>
    </row>
    <row r="9" spans="2:9" ht="34.950000000000003" customHeight="1" x14ac:dyDescent="0.3">
      <c r="B9" s="65"/>
      <c r="C9" s="44"/>
      <c r="D9" s="45"/>
      <c r="E9" s="44"/>
      <c r="F9" s="6" t="s">
        <v>64</v>
      </c>
      <c r="G9" s="6" t="s">
        <v>88</v>
      </c>
      <c r="H9" s="6" t="s">
        <v>34</v>
      </c>
      <c r="I9" s="70" t="s">
        <v>33</v>
      </c>
    </row>
    <row r="10" spans="2:9" ht="34.950000000000003" customHeight="1" x14ac:dyDescent="0.3">
      <c r="B10" s="62"/>
      <c r="C10" s="41"/>
      <c r="D10" s="43"/>
      <c r="E10" s="41"/>
      <c r="F10" s="6" t="s">
        <v>86</v>
      </c>
      <c r="G10" s="6" t="s">
        <v>89</v>
      </c>
      <c r="H10" s="6" t="s">
        <v>42</v>
      </c>
      <c r="I10" s="70" t="s">
        <v>33</v>
      </c>
    </row>
    <row r="11" spans="2:9" ht="34.950000000000003" customHeight="1" x14ac:dyDescent="0.3">
      <c r="B11" s="66">
        <v>4</v>
      </c>
      <c r="C11" s="46" t="s">
        <v>45</v>
      </c>
      <c r="D11" s="48" t="s">
        <v>33</v>
      </c>
      <c r="E11" s="46" t="s">
        <v>63</v>
      </c>
      <c r="F11" s="8" t="s">
        <v>90</v>
      </c>
      <c r="G11" s="8" t="s">
        <v>91</v>
      </c>
      <c r="H11" s="8" t="s">
        <v>34</v>
      </c>
      <c r="I11" s="71" t="s">
        <v>33</v>
      </c>
    </row>
    <row r="12" spans="2:9" ht="34.950000000000003" customHeight="1" x14ac:dyDescent="0.3">
      <c r="B12" s="66"/>
      <c r="C12" s="46"/>
      <c r="D12" s="48"/>
      <c r="E12" s="46"/>
      <c r="F12" s="7" t="s">
        <v>64</v>
      </c>
      <c r="G12" s="7" t="s">
        <v>92</v>
      </c>
      <c r="H12" s="7" t="s">
        <v>34</v>
      </c>
      <c r="I12" s="72" t="s">
        <v>33</v>
      </c>
    </row>
    <row r="13" spans="2:9" ht="34.950000000000003" customHeight="1" x14ac:dyDescent="0.3">
      <c r="B13" s="64"/>
      <c r="C13" s="47"/>
      <c r="D13" s="49"/>
      <c r="E13" s="47"/>
      <c r="F13" s="7" t="s">
        <v>93</v>
      </c>
      <c r="G13" s="7" t="s">
        <v>94</v>
      </c>
      <c r="H13" s="7" t="s">
        <v>42</v>
      </c>
      <c r="I13" s="72" t="s">
        <v>33</v>
      </c>
    </row>
    <row r="14" spans="2:9" ht="34.950000000000003" customHeight="1" x14ac:dyDescent="0.3">
      <c r="B14" s="65">
        <v>5</v>
      </c>
      <c r="C14" s="44" t="s">
        <v>97</v>
      </c>
      <c r="D14" s="45" t="s">
        <v>34</v>
      </c>
      <c r="E14" s="44" t="s">
        <v>61</v>
      </c>
      <c r="F14" s="10" t="s">
        <v>82</v>
      </c>
      <c r="G14" s="10" t="s">
        <v>83</v>
      </c>
      <c r="H14" s="10" t="s">
        <v>34</v>
      </c>
      <c r="I14" s="73" t="s">
        <v>33</v>
      </c>
    </row>
    <row r="15" spans="2:9" ht="34.950000000000003" customHeight="1" x14ac:dyDescent="0.3">
      <c r="B15" s="62"/>
      <c r="C15" s="41"/>
      <c r="D15" s="43"/>
      <c r="E15" s="41"/>
      <c r="F15" s="6" t="s">
        <v>64</v>
      </c>
      <c r="G15" s="6" t="s">
        <v>84</v>
      </c>
      <c r="H15" s="6" t="s">
        <v>34</v>
      </c>
      <c r="I15" s="70" t="s">
        <v>34</v>
      </c>
    </row>
    <row r="16" spans="2:9" ht="34.950000000000003" customHeight="1" x14ac:dyDescent="0.3">
      <c r="B16" s="74">
        <v>6</v>
      </c>
      <c r="C16" s="8" t="s">
        <v>98</v>
      </c>
      <c r="D16" s="9" t="s">
        <v>33</v>
      </c>
      <c r="E16" s="8" t="s">
        <v>121</v>
      </c>
      <c r="F16" s="8" t="s">
        <v>122</v>
      </c>
      <c r="G16" s="8" t="s">
        <v>123</v>
      </c>
      <c r="H16" s="8" t="s">
        <v>42</v>
      </c>
      <c r="I16" s="71" t="s">
        <v>33</v>
      </c>
    </row>
    <row r="17" spans="2:9" ht="34.950000000000003" customHeight="1" x14ac:dyDescent="0.3">
      <c r="B17" s="61">
        <v>7</v>
      </c>
      <c r="C17" s="40" t="s">
        <v>44</v>
      </c>
      <c r="D17" s="42" t="s">
        <v>34</v>
      </c>
      <c r="E17" s="40" t="s">
        <v>60</v>
      </c>
      <c r="F17" s="6" t="s">
        <v>76</v>
      </c>
      <c r="G17" s="6" t="s">
        <v>79</v>
      </c>
      <c r="H17" s="6" t="s">
        <v>34</v>
      </c>
      <c r="I17" s="70" t="s">
        <v>34</v>
      </c>
    </row>
    <row r="18" spans="2:9" ht="34.950000000000003" customHeight="1" x14ac:dyDescent="0.3">
      <c r="B18" s="65"/>
      <c r="C18" s="44"/>
      <c r="D18" s="45"/>
      <c r="E18" s="44"/>
      <c r="F18" s="6" t="s">
        <v>77</v>
      </c>
      <c r="G18" s="6" t="s">
        <v>80</v>
      </c>
      <c r="H18" s="6" t="s">
        <v>34</v>
      </c>
      <c r="I18" s="70" t="s">
        <v>34</v>
      </c>
    </row>
    <row r="19" spans="2:9" ht="34.950000000000003" customHeight="1" x14ac:dyDescent="0.3">
      <c r="B19" s="62"/>
      <c r="C19" s="41"/>
      <c r="D19" s="43"/>
      <c r="E19" s="41"/>
      <c r="F19" s="6" t="s">
        <v>78</v>
      </c>
      <c r="G19" s="6" t="s">
        <v>81</v>
      </c>
      <c r="H19" s="6" t="s">
        <v>33</v>
      </c>
      <c r="I19" s="70" t="s">
        <v>34</v>
      </c>
    </row>
    <row r="20" spans="2:9" ht="34.950000000000003" customHeight="1" x14ac:dyDescent="0.3">
      <c r="B20" s="66">
        <v>8</v>
      </c>
      <c r="C20" s="46" t="s">
        <v>99</v>
      </c>
      <c r="D20" s="48" t="s">
        <v>33</v>
      </c>
      <c r="E20" s="46" t="s">
        <v>59</v>
      </c>
      <c r="F20" s="8" t="s">
        <v>72</v>
      </c>
      <c r="G20" s="8" t="s">
        <v>74</v>
      </c>
      <c r="H20" s="8" t="s">
        <v>42</v>
      </c>
      <c r="I20" s="71" t="s">
        <v>33</v>
      </c>
    </row>
    <row r="21" spans="2:9" ht="34.950000000000003" customHeight="1" x14ac:dyDescent="0.3">
      <c r="B21" s="64"/>
      <c r="C21" s="47"/>
      <c r="D21" s="49"/>
      <c r="E21" s="47"/>
      <c r="F21" s="8" t="s">
        <v>73</v>
      </c>
      <c r="G21" s="8" t="s">
        <v>75</v>
      </c>
      <c r="H21" s="8" t="s">
        <v>42</v>
      </c>
      <c r="I21" s="71" t="s">
        <v>33</v>
      </c>
    </row>
  </sheetData>
  <mergeCells count="31">
    <mergeCell ref="B20:B21"/>
    <mergeCell ref="C20:C21"/>
    <mergeCell ref="D20:D21"/>
    <mergeCell ref="E20:E21"/>
    <mergeCell ref="B8:B10"/>
    <mergeCell ref="C8:C10"/>
    <mergeCell ref="D8:D10"/>
    <mergeCell ref="E8:E10"/>
    <mergeCell ref="B17:B19"/>
    <mergeCell ref="C17:C19"/>
    <mergeCell ref="D17:D19"/>
    <mergeCell ref="E17:E19"/>
    <mergeCell ref="B11:B13"/>
    <mergeCell ref="C11:C13"/>
    <mergeCell ref="D11:D13"/>
    <mergeCell ref="E11:E13"/>
    <mergeCell ref="B14:B15"/>
    <mergeCell ref="C14:C15"/>
    <mergeCell ref="D14:D15"/>
    <mergeCell ref="E14:E15"/>
    <mergeCell ref="B6:B7"/>
    <mergeCell ref="C6:C7"/>
    <mergeCell ref="D6:D7"/>
    <mergeCell ref="E6:E7"/>
    <mergeCell ref="B2:B3"/>
    <mergeCell ref="C2:E2"/>
    <mergeCell ref="F2:I2"/>
    <mergeCell ref="B4:B5"/>
    <mergeCell ref="C4:C5"/>
    <mergeCell ref="D4:D5"/>
    <mergeCell ref="E4:E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05C9-7D4B-4CA6-9D7B-E4B881ACFB92}">
  <dimension ref="B2:L20"/>
  <sheetViews>
    <sheetView topLeftCell="A15" workbookViewId="0">
      <selection activeCell="A2" sqref="A2"/>
    </sheetView>
  </sheetViews>
  <sheetFormatPr defaultRowHeight="14.4" x14ac:dyDescent="0.3"/>
  <cols>
    <col min="3" max="3" width="21.6640625" customWidth="1"/>
    <col min="4" max="4" width="27" customWidth="1"/>
    <col min="5" max="5" width="37.44140625" customWidth="1"/>
    <col min="6" max="10" width="15.77734375" customWidth="1"/>
    <col min="11" max="11" width="20.77734375" customWidth="1"/>
    <col min="12" max="12" width="31.33203125" customWidth="1"/>
  </cols>
  <sheetData>
    <row r="2" spans="2:12" ht="72" customHeight="1" x14ac:dyDescent="0.3">
      <c r="B2" s="59"/>
      <c r="C2" s="60" t="s">
        <v>126</v>
      </c>
      <c r="D2" s="60" t="s">
        <v>22</v>
      </c>
      <c r="E2" s="60" t="s">
        <v>23</v>
      </c>
      <c r="F2" s="60" t="s">
        <v>124</v>
      </c>
      <c r="G2" s="60" t="s">
        <v>125</v>
      </c>
      <c r="H2" s="60" t="s">
        <v>28</v>
      </c>
      <c r="I2" s="60" t="s">
        <v>29</v>
      </c>
      <c r="J2" s="60" t="s">
        <v>30</v>
      </c>
      <c r="K2" s="60" t="s">
        <v>31</v>
      </c>
      <c r="L2" s="60" t="s">
        <v>32</v>
      </c>
    </row>
    <row r="3" spans="2:12" ht="34.950000000000003" customHeight="1" x14ac:dyDescent="0.3">
      <c r="B3" s="61">
        <v>1</v>
      </c>
      <c r="C3" s="40" t="s">
        <v>95</v>
      </c>
      <c r="D3" s="6" t="s">
        <v>64</v>
      </c>
      <c r="E3" s="6" t="s">
        <v>66</v>
      </c>
      <c r="F3" s="50">
        <v>2000000</v>
      </c>
      <c r="G3" s="18">
        <v>0.2</v>
      </c>
      <c r="H3" s="23">
        <v>400000</v>
      </c>
      <c r="I3" s="18">
        <v>0.5</v>
      </c>
      <c r="J3" s="23">
        <v>200000</v>
      </c>
      <c r="K3" s="6" t="s">
        <v>127</v>
      </c>
      <c r="L3" s="6" t="s">
        <v>142</v>
      </c>
    </row>
    <row r="4" spans="2:12" ht="34.950000000000003" customHeight="1" x14ac:dyDescent="0.3">
      <c r="B4" s="62"/>
      <c r="C4" s="41"/>
      <c r="D4" s="10" t="s">
        <v>65</v>
      </c>
      <c r="E4" s="10" t="s">
        <v>67</v>
      </c>
      <c r="F4" s="51"/>
      <c r="G4" s="19">
        <v>0.3</v>
      </c>
      <c r="H4" s="14">
        <v>600000</v>
      </c>
      <c r="I4" s="19">
        <v>0.2</v>
      </c>
      <c r="J4" s="14">
        <v>120000</v>
      </c>
      <c r="K4" s="10" t="s">
        <v>128</v>
      </c>
      <c r="L4" s="10" t="s">
        <v>143</v>
      </c>
    </row>
    <row r="5" spans="2:12" ht="34.950000000000003" customHeight="1" x14ac:dyDescent="0.3">
      <c r="B5" s="63">
        <v>2</v>
      </c>
      <c r="C5" s="54" t="s">
        <v>43</v>
      </c>
      <c r="D5" s="7" t="s">
        <v>68</v>
      </c>
      <c r="E5" s="7" t="s">
        <v>70</v>
      </c>
      <c r="F5" s="52">
        <v>500000</v>
      </c>
      <c r="G5" s="20">
        <v>0.2</v>
      </c>
      <c r="H5" s="15">
        <v>100000</v>
      </c>
      <c r="I5" s="20">
        <v>0.25</v>
      </c>
      <c r="J5" s="15">
        <v>25000</v>
      </c>
      <c r="K5" s="12" t="s">
        <v>129</v>
      </c>
      <c r="L5" s="7" t="s">
        <v>144</v>
      </c>
    </row>
    <row r="6" spans="2:12" ht="34.950000000000003" customHeight="1" x14ac:dyDescent="0.3">
      <c r="B6" s="64"/>
      <c r="C6" s="47"/>
      <c r="D6" s="8" t="s">
        <v>69</v>
      </c>
      <c r="E6" s="8" t="s">
        <v>71</v>
      </c>
      <c r="F6" s="53"/>
      <c r="G6" s="21">
        <v>0.4</v>
      </c>
      <c r="H6" s="16">
        <v>200000</v>
      </c>
      <c r="I6" s="21">
        <v>0.1</v>
      </c>
      <c r="J6" s="16">
        <v>20000</v>
      </c>
      <c r="K6" s="8" t="s">
        <v>130</v>
      </c>
      <c r="L6" s="8" t="s">
        <v>145</v>
      </c>
    </row>
    <row r="7" spans="2:12" ht="34.950000000000003" customHeight="1" x14ac:dyDescent="0.3">
      <c r="B7" s="61">
        <v>3</v>
      </c>
      <c r="C7" s="40" t="s">
        <v>96</v>
      </c>
      <c r="D7" s="6" t="s">
        <v>85</v>
      </c>
      <c r="E7" s="6" t="s">
        <v>87</v>
      </c>
      <c r="F7" s="50">
        <v>1500000</v>
      </c>
      <c r="G7" s="18">
        <v>0.05</v>
      </c>
      <c r="H7" s="23">
        <v>75000</v>
      </c>
      <c r="I7" s="18">
        <v>0.1</v>
      </c>
      <c r="J7" s="23">
        <v>7500</v>
      </c>
      <c r="K7" s="6" t="s">
        <v>131</v>
      </c>
      <c r="L7" s="6" t="s">
        <v>146</v>
      </c>
    </row>
    <row r="8" spans="2:12" ht="34.950000000000003" customHeight="1" x14ac:dyDescent="0.3">
      <c r="B8" s="65"/>
      <c r="C8" s="44"/>
      <c r="D8" s="6" t="s">
        <v>64</v>
      </c>
      <c r="E8" s="6" t="s">
        <v>88</v>
      </c>
      <c r="F8" s="55"/>
      <c r="G8" s="18">
        <v>0.3</v>
      </c>
      <c r="H8" s="23">
        <v>450000</v>
      </c>
      <c r="I8" s="18">
        <v>0.2</v>
      </c>
      <c r="J8" s="23">
        <v>90000</v>
      </c>
      <c r="K8" s="6" t="s">
        <v>130</v>
      </c>
      <c r="L8" s="6" t="s">
        <v>147</v>
      </c>
    </row>
    <row r="9" spans="2:12" ht="34.950000000000003" customHeight="1" x14ac:dyDescent="0.3">
      <c r="B9" s="62"/>
      <c r="C9" s="41"/>
      <c r="D9" s="10" t="s">
        <v>86</v>
      </c>
      <c r="E9" s="10" t="s">
        <v>89</v>
      </c>
      <c r="F9" s="51"/>
      <c r="G9" s="19">
        <v>0.2</v>
      </c>
      <c r="H9" s="14">
        <v>300000</v>
      </c>
      <c r="I9" s="19">
        <v>0.3</v>
      </c>
      <c r="J9" s="14">
        <v>90000</v>
      </c>
      <c r="K9" s="10" t="s">
        <v>132</v>
      </c>
      <c r="L9" s="10" t="s">
        <v>148</v>
      </c>
    </row>
    <row r="10" spans="2:12" ht="34.950000000000003" customHeight="1" x14ac:dyDescent="0.3">
      <c r="B10" s="63">
        <v>4</v>
      </c>
      <c r="C10" s="54" t="s">
        <v>45</v>
      </c>
      <c r="D10" s="7" t="s">
        <v>90</v>
      </c>
      <c r="E10" s="7" t="s">
        <v>91</v>
      </c>
      <c r="F10" s="56" t="s">
        <v>119</v>
      </c>
      <c r="G10" s="22">
        <v>0.1</v>
      </c>
      <c r="H10" s="17">
        <v>100000</v>
      </c>
      <c r="I10" s="22">
        <v>0.15</v>
      </c>
      <c r="J10" s="17">
        <v>15000</v>
      </c>
      <c r="K10" s="7" t="s">
        <v>133</v>
      </c>
      <c r="L10" s="7" t="s">
        <v>149</v>
      </c>
    </row>
    <row r="11" spans="2:12" ht="34.950000000000003" customHeight="1" x14ac:dyDescent="0.3">
      <c r="B11" s="66"/>
      <c r="C11" s="46"/>
      <c r="D11" s="7" t="s">
        <v>64</v>
      </c>
      <c r="E11" s="7" t="s">
        <v>92</v>
      </c>
      <c r="F11" s="57"/>
      <c r="G11" s="22">
        <v>0.3</v>
      </c>
      <c r="H11" s="17">
        <v>300000</v>
      </c>
      <c r="I11" s="22">
        <v>0.25</v>
      </c>
      <c r="J11" s="17">
        <v>75000</v>
      </c>
      <c r="K11" s="7" t="s">
        <v>127</v>
      </c>
      <c r="L11" s="7" t="s">
        <v>150</v>
      </c>
    </row>
    <row r="12" spans="2:12" ht="34.950000000000003" customHeight="1" x14ac:dyDescent="0.3">
      <c r="B12" s="64"/>
      <c r="C12" s="47"/>
      <c r="D12" s="8" t="s">
        <v>93</v>
      </c>
      <c r="E12" s="8" t="s">
        <v>94</v>
      </c>
      <c r="F12" s="58"/>
      <c r="G12" s="21">
        <v>0.15</v>
      </c>
      <c r="H12" s="16">
        <v>150000</v>
      </c>
      <c r="I12" s="21">
        <v>0.2</v>
      </c>
      <c r="J12" s="16">
        <v>30000</v>
      </c>
      <c r="K12" s="8" t="s">
        <v>132</v>
      </c>
      <c r="L12" s="8" t="s">
        <v>151</v>
      </c>
    </row>
    <row r="13" spans="2:12" ht="34.950000000000003" customHeight="1" x14ac:dyDescent="0.3">
      <c r="B13" s="61">
        <v>5</v>
      </c>
      <c r="C13" s="40" t="s">
        <v>97</v>
      </c>
      <c r="D13" s="4" t="s">
        <v>82</v>
      </c>
      <c r="E13" s="4" t="s">
        <v>83</v>
      </c>
      <c r="F13" s="50">
        <v>200000</v>
      </c>
      <c r="G13" s="18">
        <v>0.2</v>
      </c>
      <c r="H13" s="23">
        <v>40000</v>
      </c>
      <c r="I13" s="18">
        <v>0.2</v>
      </c>
      <c r="J13" s="23">
        <v>8000</v>
      </c>
      <c r="K13" s="6" t="s">
        <v>134</v>
      </c>
      <c r="L13" s="6" t="s">
        <v>152</v>
      </c>
    </row>
    <row r="14" spans="2:12" ht="34.950000000000003" customHeight="1" x14ac:dyDescent="0.3">
      <c r="B14" s="62"/>
      <c r="C14" s="41"/>
      <c r="D14" s="10" t="s">
        <v>64</v>
      </c>
      <c r="E14" s="10" t="s">
        <v>84</v>
      </c>
      <c r="F14" s="51"/>
      <c r="G14" s="19">
        <v>0.25</v>
      </c>
      <c r="H14" s="14">
        <v>50000</v>
      </c>
      <c r="I14" s="19">
        <v>0.2</v>
      </c>
      <c r="J14" s="14">
        <v>10000</v>
      </c>
      <c r="K14" s="10" t="s">
        <v>135</v>
      </c>
      <c r="L14" s="10" t="s">
        <v>153</v>
      </c>
    </row>
    <row r="15" spans="2:12" ht="34.950000000000003" customHeight="1" x14ac:dyDescent="0.3">
      <c r="B15" s="67">
        <v>6</v>
      </c>
      <c r="C15" s="7" t="s">
        <v>98</v>
      </c>
      <c r="D15" s="7" t="s">
        <v>122</v>
      </c>
      <c r="E15" s="7" t="s">
        <v>123</v>
      </c>
      <c r="F15" s="17">
        <v>3000000</v>
      </c>
      <c r="G15" s="22">
        <v>0.3</v>
      </c>
      <c r="H15" s="17">
        <v>900000</v>
      </c>
      <c r="I15" s="22">
        <v>0.3</v>
      </c>
      <c r="J15" s="17">
        <v>270000</v>
      </c>
      <c r="K15" s="7" t="s">
        <v>136</v>
      </c>
      <c r="L15" s="7" t="s">
        <v>154</v>
      </c>
    </row>
    <row r="16" spans="2:12" ht="34.950000000000003" customHeight="1" x14ac:dyDescent="0.3">
      <c r="B16" s="61">
        <v>7</v>
      </c>
      <c r="C16" s="40" t="s">
        <v>44</v>
      </c>
      <c r="D16" s="6" t="s">
        <v>76</v>
      </c>
      <c r="E16" s="6" t="s">
        <v>79</v>
      </c>
      <c r="F16" s="50">
        <v>150000</v>
      </c>
      <c r="G16" s="18">
        <v>0.25</v>
      </c>
      <c r="H16" s="23">
        <v>37500</v>
      </c>
      <c r="I16" s="18">
        <v>0.25</v>
      </c>
      <c r="J16" s="23">
        <v>9375</v>
      </c>
      <c r="K16" s="6" t="s">
        <v>137</v>
      </c>
      <c r="L16" s="6" t="s">
        <v>155</v>
      </c>
    </row>
    <row r="17" spans="2:12" ht="34.950000000000003" customHeight="1" x14ac:dyDescent="0.3">
      <c r="B17" s="65"/>
      <c r="C17" s="44"/>
      <c r="D17" s="6" t="s">
        <v>77</v>
      </c>
      <c r="E17" s="6" t="s">
        <v>80</v>
      </c>
      <c r="F17" s="55"/>
      <c r="G17" s="18">
        <v>0.2</v>
      </c>
      <c r="H17" s="23">
        <v>30000</v>
      </c>
      <c r="I17" s="18">
        <v>0.3</v>
      </c>
      <c r="J17" s="23">
        <v>9000</v>
      </c>
      <c r="K17" s="6" t="s">
        <v>138</v>
      </c>
      <c r="L17" s="6" t="s">
        <v>156</v>
      </c>
    </row>
    <row r="18" spans="2:12" ht="34.950000000000003" customHeight="1" x14ac:dyDescent="0.3">
      <c r="B18" s="62"/>
      <c r="C18" s="41"/>
      <c r="D18" s="10" t="s">
        <v>78</v>
      </c>
      <c r="E18" s="10" t="s">
        <v>81</v>
      </c>
      <c r="F18" s="51"/>
      <c r="G18" s="19">
        <v>0.2</v>
      </c>
      <c r="H18" s="14">
        <v>30000</v>
      </c>
      <c r="I18" s="19">
        <v>0.2</v>
      </c>
      <c r="J18" s="14">
        <v>6000</v>
      </c>
      <c r="K18" s="10" t="s">
        <v>139</v>
      </c>
      <c r="L18" s="10" t="s">
        <v>157</v>
      </c>
    </row>
    <row r="19" spans="2:12" ht="34.950000000000003" customHeight="1" x14ac:dyDescent="0.3">
      <c r="B19" s="63">
        <v>8</v>
      </c>
      <c r="C19" s="46" t="s">
        <v>99</v>
      </c>
      <c r="D19" s="7" t="s">
        <v>72</v>
      </c>
      <c r="E19" s="7" t="s">
        <v>74</v>
      </c>
      <c r="F19" s="57">
        <v>5000000</v>
      </c>
      <c r="G19" s="22">
        <v>0.1</v>
      </c>
      <c r="H19" s="17">
        <v>500000</v>
      </c>
      <c r="I19" s="22">
        <v>0.1</v>
      </c>
      <c r="J19" s="17">
        <v>50000</v>
      </c>
      <c r="K19" s="7" t="s">
        <v>140</v>
      </c>
      <c r="L19" s="7" t="s">
        <v>158</v>
      </c>
    </row>
    <row r="20" spans="2:12" ht="34.950000000000003" customHeight="1" x14ac:dyDescent="0.3">
      <c r="B20" s="64"/>
      <c r="C20" s="47"/>
      <c r="D20" s="8" t="s">
        <v>73</v>
      </c>
      <c r="E20" s="8" t="s">
        <v>75</v>
      </c>
      <c r="F20" s="58"/>
      <c r="G20" s="21">
        <v>0.05</v>
      </c>
      <c r="H20" s="16">
        <v>250000</v>
      </c>
      <c r="I20" s="21">
        <v>0.05</v>
      </c>
      <c r="J20" s="16">
        <v>12500</v>
      </c>
      <c r="K20" s="8" t="s">
        <v>141</v>
      </c>
      <c r="L20" s="7" t="s">
        <v>159</v>
      </c>
    </row>
  </sheetData>
  <mergeCells count="21">
    <mergeCell ref="F10:F12"/>
    <mergeCell ref="F13:F14"/>
    <mergeCell ref="F16:F18"/>
    <mergeCell ref="F19:F20"/>
    <mergeCell ref="B16:B18"/>
    <mergeCell ref="C16:C18"/>
    <mergeCell ref="B19:B20"/>
    <mergeCell ref="C19:C20"/>
    <mergeCell ref="B10:B12"/>
    <mergeCell ref="C10:C12"/>
    <mergeCell ref="B13:B14"/>
    <mergeCell ref="C13:C14"/>
    <mergeCell ref="F3:F4"/>
    <mergeCell ref="F5:F6"/>
    <mergeCell ref="B5:B6"/>
    <mergeCell ref="C5:C6"/>
    <mergeCell ref="B7:B9"/>
    <mergeCell ref="C7:C9"/>
    <mergeCell ref="B3:B4"/>
    <mergeCell ref="C3:C4"/>
    <mergeCell ref="F7:F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IA Asset CIA Classification</vt:lpstr>
      <vt:lpstr>IA Asset Inventory Information</vt:lpstr>
      <vt:lpstr>IA Qualitative Risk Assessment</vt:lpstr>
      <vt:lpstr>IA Quantitative Risk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i212752</dc:creator>
  <cp:lastModifiedBy>Arsh Malik</cp:lastModifiedBy>
  <dcterms:created xsi:type="dcterms:W3CDTF">2024-09-12T12:29:01Z</dcterms:created>
  <dcterms:modified xsi:type="dcterms:W3CDTF">2024-11-25T05:29:30Z</dcterms:modified>
</cp:coreProperties>
</file>